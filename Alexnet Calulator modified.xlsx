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exnet performace calculatoor_" sheetId="1" r:id="rId4"/>
    <sheet state="visible" name="Alexnet Calculator( configurati" sheetId="2" r:id="rId5"/>
  </sheets>
  <definedNames/>
  <calcPr/>
  <extLst>
    <ext uri="GoogleSheetsCustomDataVersion2">
      <go:sheetsCustomData xmlns:go="http://customooxmlschemas.google.com/" r:id="rId6" roundtripDataChecksum="zArdvmw76bXjLk0o8g6Ze8H9kXKSa3NUbJAS4VR8KJw="/>
    </ext>
  </extLst>
</workbook>
</file>

<file path=xl/sharedStrings.xml><?xml version="1.0" encoding="utf-8"?>
<sst xmlns="http://schemas.openxmlformats.org/spreadsheetml/2006/main" count="102" uniqueCount="57">
  <si>
    <t>Input</t>
  </si>
  <si>
    <t>Channels</t>
  </si>
  <si>
    <t>I-Height</t>
  </si>
  <si>
    <t>I-Width</t>
  </si>
  <si>
    <t>Kernel Count</t>
  </si>
  <si>
    <t>K-Height</t>
  </si>
  <si>
    <t>K-Width</t>
  </si>
  <si>
    <t>Stride</t>
  </si>
  <si>
    <t>Padding T</t>
  </si>
  <si>
    <t>Padding B</t>
  </si>
  <si>
    <t>Padding L</t>
  </si>
  <si>
    <t>Padding R</t>
  </si>
  <si>
    <t>O-Height</t>
  </si>
  <si>
    <t>O-Width</t>
  </si>
  <si>
    <t>No of Features</t>
  </si>
  <si>
    <t>No of Conv</t>
  </si>
  <si>
    <t>No of Matrix Mult</t>
  </si>
  <si>
    <t>No of Operations</t>
  </si>
  <si>
    <t>No.of CEs</t>
  </si>
  <si>
    <t>No.of CUs</t>
  </si>
  <si>
    <t>No of Multipliers</t>
  </si>
  <si>
    <t>No of VCONVs</t>
  </si>
  <si>
    <t>NO.OF CUs</t>
  </si>
  <si>
    <t>Total MACs</t>
  </si>
  <si>
    <t>Required Cycles</t>
  </si>
  <si>
    <t>Target Freq (M)</t>
  </si>
  <si>
    <t>Time(sec)</t>
  </si>
  <si>
    <t>FPS</t>
  </si>
  <si>
    <t>Conv1_1</t>
  </si>
  <si>
    <t xml:space="preserve">addition1 </t>
  </si>
  <si>
    <t>Conv1_2 relu</t>
  </si>
  <si>
    <t>Norm1_1</t>
  </si>
  <si>
    <t>Pool1_1</t>
  </si>
  <si>
    <t>Conv2_1</t>
  </si>
  <si>
    <t>addition 2</t>
  </si>
  <si>
    <t>relu</t>
  </si>
  <si>
    <t>Norm2_1</t>
  </si>
  <si>
    <t>Pool2_1</t>
  </si>
  <si>
    <t>Conv3_1</t>
  </si>
  <si>
    <t>addition 3</t>
  </si>
  <si>
    <t>Conv4_1</t>
  </si>
  <si>
    <t>addition 4</t>
  </si>
  <si>
    <t>Conv5_1</t>
  </si>
  <si>
    <t>addition 5</t>
  </si>
  <si>
    <t>Pool5_1</t>
  </si>
  <si>
    <t>Multiplier Operation</t>
  </si>
  <si>
    <t>Addition</t>
  </si>
  <si>
    <t xml:space="preserve">LRN Cycles per each element </t>
  </si>
  <si>
    <t xml:space="preserve">Square Root Subtraction Divison  MAC operation </t>
  </si>
  <si>
    <t xml:space="preserve">   29 11 29 11 </t>
  </si>
  <si>
    <t>Comparison cycles</t>
  </si>
  <si>
    <t>addition MAC</t>
  </si>
  <si>
    <t>addition cycles</t>
  </si>
  <si>
    <t>No of adders</t>
  </si>
  <si>
    <t>operation</t>
  </si>
  <si>
    <t>LRN Cycles</t>
  </si>
  <si>
    <t>Comparison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</si>
</sst>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rgb="FF000000"/>
      <name val="Arial"/>
    </font>
    <font>
      <sz val="11.0"/>
      <color rgb="FF000000"/>
      <name val="Arial"/>
    </font>
    <font>
      <color theme="1"/>
      <name val="Arial"/>
    </font>
    <font>
      <sz val="11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1" fillId="2" fontId="2" numFmtId="0" xfId="0" applyAlignment="1" applyBorder="1" applyFill="1" applyFont="1">
      <alignment shrinkToFit="0" vertical="bottom" wrapText="1"/>
    </xf>
    <xf borderId="1" fillId="3" fontId="2" numFmtId="0" xfId="0" applyAlignment="1" applyBorder="1" applyFill="1" applyFont="1">
      <alignment shrinkToFit="0" vertical="bottom" wrapText="1"/>
    </xf>
    <xf borderId="0" fillId="0" fontId="3" numFmtId="0" xfId="0" applyAlignment="1" applyFont="1">
      <alignment horizontal="center" shrinkToFit="0" vertical="bottom" wrapText="0"/>
    </xf>
    <xf borderId="1" fillId="2" fontId="3" numFmtId="0" xfId="0" applyAlignment="1" applyBorder="1" applyFont="1">
      <alignment horizontal="center" shrinkToFit="0" vertical="bottom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3" fontId="3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Font="1"/>
    <xf borderId="1" fillId="4" fontId="5" numFmtId="0" xfId="0" applyAlignment="1" applyBorder="1" applyFill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hidden="1" min="1" max="1" width="12.63"/>
    <col customWidth="1" min="2" max="2" width="13.75"/>
    <col hidden="1" min="6" max="6" width="12.63"/>
    <col customWidth="1" min="7" max="7" width="18.63"/>
    <col hidden="1" min="9" max="14" width="12.63"/>
    <col hidden="1" min="25" max="28" width="12.63"/>
  </cols>
  <sheetData>
    <row r="1" ht="15.75" customHeight="1">
      <c r="A1" s="1" t="s">
        <v>0</v>
      </c>
      <c r="B1" s="1"/>
      <c r="C1" s="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3" t="s">
        <v>15</v>
      </c>
      <c r="S1" s="4" t="s">
        <v>16</v>
      </c>
      <c r="T1" s="4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6" t="s">
        <v>18</v>
      </c>
      <c r="Z1" s="6" t="s">
        <v>22</v>
      </c>
      <c r="AA1" s="6" t="s">
        <v>20</v>
      </c>
      <c r="AB1" s="6" t="s">
        <v>21</v>
      </c>
      <c r="AC1" s="4" t="s">
        <v>23</v>
      </c>
      <c r="AD1" s="4" t="s">
        <v>24</v>
      </c>
      <c r="AE1" s="4" t="s">
        <v>25</v>
      </c>
      <c r="AF1" s="4" t="s">
        <v>26</v>
      </c>
      <c r="AG1" s="4" t="s">
        <v>27</v>
      </c>
    </row>
    <row r="2" ht="15.75" customHeight="1">
      <c r="A2" s="7">
        <v>1.0</v>
      </c>
      <c r="B2" s="7" t="s">
        <v>28</v>
      </c>
      <c r="C2" s="7"/>
      <c r="D2" s="7">
        <v>3.0</v>
      </c>
      <c r="E2" s="7">
        <v>224.0</v>
      </c>
      <c r="F2" s="7">
        <v>224.0</v>
      </c>
      <c r="G2" s="7">
        <v>96.0</v>
      </c>
      <c r="H2" s="7">
        <v>11.0</v>
      </c>
      <c r="I2" s="7">
        <v>11.0</v>
      </c>
      <c r="J2" s="7">
        <v>4.0</v>
      </c>
      <c r="K2" s="7">
        <v>0.0</v>
      </c>
      <c r="L2" s="7">
        <v>0.0</v>
      </c>
      <c r="M2" s="7">
        <v>0.0</v>
      </c>
      <c r="N2" s="7">
        <v>0.0</v>
      </c>
      <c r="O2" s="7">
        <v>54.0</v>
      </c>
      <c r="P2" s="7">
        <v>54.0</v>
      </c>
      <c r="Q2" s="7">
        <v>96.0</v>
      </c>
      <c r="R2" s="7">
        <f>A2*D2*G2</f>
        <v>288</v>
      </c>
      <c r="S2" s="7">
        <f>R2*O2*P2</f>
        <v>839808</v>
      </c>
      <c r="T2" s="7">
        <f>S2*H2*H2</f>
        <v>101616768</v>
      </c>
      <c r="U2" s="8">
        <v>3.0</v>
      </c>
      <c r="V2" s="8">
        <v>11.0</v>
      </c>
      <c r="W2" s="8">
        <v>11.0</v>
      </c>
      <c r="X2" s="9">
        <v>2.0</v>
      </c>
      <c r="Y2" s="10">
        <v>3.0</v>
      </c>
      <c r="Z2" s="10">
        <v>1.0</v>
      </c>
      <c r="AA2" s="10">
        <v>11.0</v>
      </c>
      <c r="AB2" s="10">
        <v>0.0</v>
      </c>
      <c r="AC2" s="7">
        <f>(X2*U2*V2*W2)+(Y2*Z2*AA2*AB2)</f>
        <v>726</v>
      </c>
      <c r="AD2" s="7">
        <f>(T2*$X$39)/AC2</f>
        <v>1539648</v>
      </c>
      <c r="AE2" s="7">
        <v>200.0</v>
      </c>
      <c r="AF2" s="7">
        <f>ROUNDDOWN(AD7/(AE2*1000000),3)</f>
        <v>0.034</v>
      </c>
      <c r="AG2" s="7">
        <f>ROUNDUP(1/AF2,0)</f>
        <v>30</v>
      </c>
    </row>
    <row r="3" ht="15.75" customHeight="1">
      <c r="A3" s="7"/>
      <c r="B3" s="7" t="s">
        <v>29</v>
      </c>
      <c r="C3" s="7">
        <v>192.0</v>
      </c>
      <c r="D3" s="11">
        <v>3.0</v>
      </c>
      <c r="E3" s="7">
        <v>54.0</v>
      </c>
      <c r="F3" s="7"/>
      <c r="G3" s="11">
        <v>96.0</v>
      </c>
      <c r="H3" s="7">
        <v>11.0</v>
      </c>
      <c r="I3" s="7"/>
      <c r="J3" s="7"/>
      <c r="K3" s="7"/>
      <c r="L3" s="7"/>
      <c r="M3" s="7"/>
      <c r="N3" s="7"/>
      <c r="O3" s="7">
        <v>11.0</v>
      </c>
      <c r="P3" s="7"/>
      <c r="Q3" s="7"/>
      <c r="R3" s="7"/>
      <c r="S3" s="7"/>
      <c r="T3" s="7"/>
      <c r="U3" s="8"/>
      <c r="V3" s="8"/>
      <c r="W3" s="8"/>
      <c r="X3" s="8"/>
      <c r="Y3" s="10"/>
      <c r="Z3" s="10"/>
      <c r="AA3" s="10"/>
      <c r="AB3" s="10"/>
      <c r="AC3" s="7"/>
      <c r="AD3" s="7">
        <f>(D3-1)*G3*X48                            </f>
        <v>2112</v>
      </c>
      <c r="AE3" s="7"/>
      <c r="AF3" s="7"/>
      <c r="AG3" s="7"/>
    </row>
    <row r="4" ht="15.75" customHeight="1">
      <c r="A4" s="7"/>
      <c r="B4" s="7" t="s">
        <v>30</v>
      </c>
      <c r="C4" s="7"/>
      <c r="D4" s="7">
        <v>96.0</v>
      </c>
      <c r="E4" s="7">
        <v>54.0</v>
      </c>
      <c r="F4" s="7"/>
      <c r="G4" s="7">
        <v>54.0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>
        <f>D4*E4*G4</f>
        <v>279936</v>
      </c>
      <c r="U4" s="8"/>
      <c r="V4" s="8"/>
      <c r="W4" s="8"/>
      <c r="X4" s="8"/>
      <c r="Y4" s="10"/>
      <c r="Z4" s="10"/>
      <c r="AA4" s="10"/>
      <c r="AB4" s="10"/>
      <c r="AC4" s="7"/>
      <c r="AD4" s="7">
        <f>T4*1</f>
        <v>279936</v>
      </c>
      <c r="AE4" s="7"/>
      <c r="AF4" s="7"/>
      <c r="AG4" s="7"/>
    </row>
    <row r="5" ht="15.75" customHeight="1">
      <c r="A5" s="7"/>
      <c r="B5" s="7" t="s">
        <v>31</v>
      </c>
      <c r="C5" s="7"/>
      <c r="D5" s="7">
        <v>96.0</v>
      </c>
      <c r="E5" s="7">
        <v>54.0</v>
      </c>
      <c r="F5" s="7"/>
      <c r="G5" s="7">
        <v>54.0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>
        <f>D5*E5*G5/5</f>
        <v>55987.2</v>
      </c>
      <c r="U5" s="8"/>
      <c r="V5" s="8"/>
      <c r="W5" s="8"/>
      <c r="X5" s="8"/>
      <c r="Y5" s="10"/>
      <c r="Z5" s="10"/>
      <c r="AA5" s="10"/>
      <c r="AB5" s="10"/>
      <c r="AC5" s="7"/>
      <c r="AD5" s="7">
        <f>T5*$X41</f>
        <v>4478976</v>
      </c>
      <c r="AE5" s="7"/>
      <c r="AF5" s="7"/>
      <c r="AG5" s="7"/>
    </row>
    <row r="6" ht="15.75" customHeight="1">
      <c r="A6" s="7"/>
      <c r="B6" s="7" t="s">
        <v>32</v>
      </c>
      <c r="C6" s="7"/>
      <c r="D6" s="7">
        <v>96.0</v>
      </c>
      <c r="E6" s="7">
        <v>54.0</v>
      </c>
      <c r="F6" s="7"/>
      <c r="G6" s="7">
        <v>54.0</v>
      </c>
      <c r="H6" s="7">
        <v>3.0</v>
      </c>
      <c r="I6" s="7"/>
      <c r="J6" s="7"/>
      <c r="K6" s="7"/>
      <c r="L6" s="7"/>
      <c r="M6" s="7"/>
      <c r="N6" s="7"/>
      <c r="O6" s="7">
        <v>26.0</v>
      </c>
      <c r="P6" s="7"/>
      <c r="Q6" s="7"/>
      <c r="R6" s="7"/>
      <c r="S6" s="7"/>
      <c r="T6" s="7">
        <f>D6*E6*G6</f>
        <v>279936</v>
      </c>
      <c r="U6" s="8"/>
      <c r="V6" s="8"/>
      <c r="W6" s="8"/>
      <c r="X6" s="8"/>
      <c r="Y6" s="10"/>
      <c r="Z6" s="10"/>
      <c r="AA6" s="10"/>
      <c r="AB6" s="10"/>
      <c r="AC6" s="7"/>
      <c r="AD6" s="7">
        <f>T6*$X43</f>
        <v>559872</v>
      </c>
      <c r="AE6" s="7"/>
      <c r="AF6" s="7"/>
      <c r="AG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8"/>
      <c r="W7" s="8"/>
      <c r="X7" s="8"/>
      <c r="Y7" s="10"/>
      <c r="Z7" s="10"/>
      <c r="AA7" s="10"/>
      <c r="AB7" s="10"/>
      <c r="AC7" s="7"/>
      <c r="AD7" s="2">
        <f>SUM(AD2:AD6)</f>
        <v>6860544</v>
      </c>
      <c r="AE7" s="7"/>
      <c r="AF7" s="7"/>
      <c r="AG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8"/>
      <c r="W8" s="8"/>
      <c r="X8" s="8"/>
      <c r="Y8" s="10"/>
      <c r="Z8" s="10"/>
      <c r="AA8" s="10"/>
      <c r="AB8" s="10"/>
      <c r="AC8" s="7"/>
      <c r="AD8" s="7"/>
      <c r="AE8" s="7"/>
      <c r="AF8" s="7"/>
      <c r="AG8" s="7"/>
    </row>
    <row r="9" ht="15.75" customHeight="1">
      <c r="A9" s="7">
        <v>1.0</v>
      </c>
      <c r="B9" s="7" t="s">
        <v>33</v>
      </c>
      <c r="C9" s="7"/>
      <c r="D9" s="7">
        <v>96.0</v>
      </c>
      <c r="E9" s="7">
        <v>26.0</v>
      </c>
      <c r="F9" s="7">
        <v>26.0</v>
      </c>
      <c r="G9" s="7">
        <v>256.0</v>
      </c>
      <c r="H9" s="7">
        <v>5.0</v>
      </c>
      <c r="I9" s="7">
        <v>5.0</v>
      </c>
      <c r="J9" s="7">
        <v>1.0</v>
      </c>
      <c r="K9" s="7">
        <v>2.0</v>
      </c>
      <c r="L9" s="7">
        <v>2.0</v>
      </c>
      <c r="M9" s="7">
        <v>2.0</v>
      </c>
      <c r="N9" s="7">
        <v>2.0</v>
      </c>
      <c r="O9" s="7">
        <v>26.0</v>
      </c>
      <c r="P9" s="7">
        <v>26.0</v>
      </c>
      <c r="Q9" s="7">
        <v>256.0</v>
      </c>
      <c r="R9" s="7">
        <f>A9*D9*G9</f>
        <v>24576</v>
      </c>
      <c r="S9" s="7">
        <f>R9*O9*P9</f>
        <v>16613376</v>
      </c>
      <c r="T9" s="7">
        <f>S9*H9*H9</f>
        <v>415334400</v>
      </c>
      <c r="U9" s="9">
        <v>26.0</v>
      </c>
      <c r="V9" s="9">
        <v>5.0</v>
      </c>
      <c r="W9" s="8">
        <v>5.0</v>
      </c>
      <c r="X9" s="9">
        <v>3.0</v>
      </c>
      <c r="Y9" s="10">
        <v>13.0</v>
      </c>
      <c r="Z9" s="10">
        <v>1.0</v>
      </c>
      <c r="AA9" s="10">
        <v>5.0</v>
      </c>
      <c r="AB9" s="10">
        <v>0.0</v>
      </c>
      <c r="AC9" s="7">
        <f>(X9*U9*V9*W9)+(Y9*Z9*AA9*AB9)</f>
        <v>1950</v>
      </c>
      <c r="AD9" s="7">
        <f>(T9*$X$39)/AC9</f>
        <v>2342912</v>
      </c>
      <c r="AE9" s="7">
        <v>200.0</v>
      </c>
      <c r="AF9" s="7">
        <f>ROUNDUP(AD14/(AE9*1000000),3)</f>
        <v>0.03</v>
      </c>
      <c r="AG9" s="7">
        <f>ROUNDUP(1/AF9,0)</f>
        <v>34</v>
      </c>
    </row>
    <row r="10" ht="15.75" customHeight="1">
      <c r="A10" s="7"/>
      <c r="B10" s="7" t="s">
        <v>34</v>
      </c>
      <c r="C10" s="7">
        <v>24320.0</v>
      </c>
      <c r="D10" s="11">
        <v>96.0</v>
      </c>
      <c r="E10" s="7">
        <v>26.0</v>
      </c>
      <c r="F10" s="7"/>
      <c r="G10" s="11">
        <v>256.0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8"/>
      <c r="V10" s="8"/>
      <c r="W10" s="8"/>
      <c r="X10" s="8"/>
      <c r="Y10" s="10"/>
      <c r="Z10" s="10"/>
      <c r="AA10" s="10"/>
      <c r="AB10" s="10"/>
      <c r="AC10" s="7"/>
      <c r="AD10" s="7">
        <f>(D10-1)*G10*X48                            </f>
        <v>267520</v>
      </c>
      <c r="AE10" s="7"/>
      <c r="AF10" s="7"/>
      <c r="AG10" s="7"/>
    </row>
    <row r="11" ht="15.75" customHeight="1">
      <c r="A11" s="7"/>
      <c r="B11" s="7" t="s">
        <v>35</v>
      </c>
      <c r="C11" s="7"/>
      <c r="D11" s="11">
        <v>256.0</v>
      </c>
      <c r="E11" s="7">
        <v>26.0</v>
      </c>
      <c r="F11" s="7"/>
      <c r="G11" s="7">
        <v>26.0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>
        <f>D11*E11*G11</f>
        <v>173056</v>
      </c>
      <c r="U11" s="8"/>
      <c r="V11" s="8"/>
      <c r="W11" s="8"/>
      <c r="X11" s="8"/>
      <c r="Y11" s="10"/>
      <c r="Z11" s="10"/>
      <c r="AA11" s="10"/>
      <c r="AB11" s="10"/>
      <c r="AC11" s="7"/>
      <c r="AD11" s="7">
        <f>T11*1</f>
        <v>173056</v>
      </c>
      <c r="AE11" s="7"/>
      <c r="AF11" s="7"/>
      <c r="AG11" s="7"/>
    </row>
    <row r="12" ht="15.75" customHeight="1">
      <c r="A12" s="7"/>
      <c r="B12" s="7" t="s">
        <v>36</v>
      </c>
      <c r="C12" s="7"/>
      <c r="D12" s="11">
        <v>256.0</v>
      </c>
      <c r="E12" s="7">
        <v>26.0</v>
      </c>
      <c r="F12" s="7"/>
      <c r="G12" s="7">
        <v>26.0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>
        <f>D12*E12*G12/5</f>
        <v>34611.2</v>
      </c>
      <c r="U12" s="8"/>
      <c r="V12" s="8"/>
      <c r="W12" s="8"/>
      <c r="X12" s="8"/>
      <c r="Y12" s="10"/>
      <c r="Z12" s="10"/>
      <c r="AA12" s="10"/>
      <c r="AB12" s="10"/>
      <c r="AC12" s="7"/>
      <c r="AD12" s="7">
        <f>T12*$X41</f>
        <v>2768896</v>
      </c>
      <c r="AE12" s="7"/>
      <c r="AF12" s="7"/>
      <c r="AG12" s="7"/>
    </row>
    <row r="13" ht="15.75" customHeight="1">
      <c r="A13" s="7"/>
      <c r="B13" s="7" t="s">
        <v>37</v>
      </c>
      <c r="C13" s="7"/>
      <c r="D13" s="11">
        <v>256.0</v>
      </c>
      <c r="E13" s="7">
        <v>26.0</v>
      </c>
      <c r="F13" s="7"/>
      <c r="G13" s="7">
        <v>26.0</v>
      </c>
      <c r="H13" s="7">
        <v>3.0</v>
      </c>
      <c r="I13" s="7"/>
      <c r="J13" s="7"/>
      <c r="K13" s="7"/>
      <c r="L13" s="7"/>
      <c r="M13" s="7"/>
      <c r="N13" s="7"/>
      <c r="O13" s="7">
        <v>12.0</v>
      </c>
      <c r="P13" s="7"/>
      <c r="Q13" s="7"/>
      <c r="R13" s="7"/>
      <c r="S13" s="7"/>
      <c r="T13" s="7">
        <f>D13*E13*G13</f>
        <v>173056</v>
      </c>
      <c r="U13" s="8"/>
      <c r="V13" s="8"/>
      <c r="W13" s="8"/>
      <c r="X13" s="8"/>
      <c r="Y13" s="10"/>
      <c r="Z13" s="10"/>
      <c r="AA13" s="10"/>
      <c r="AB13" s="10"/>
      <c r="AC13" s="7"/>
      <c r="AD13" s="7">
        <f>T13*$X43</f>
        <v>346112</v>
      </c>
      <c r="AE13" s="7"/>
      <c r="AF13" s="7"/>
      <c r="AG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8"/>
      <c r="V14" s="8"/>
      <c r="W14" s="8"/>
      <c r="X14" s="8"/>
      <c r="Y14" s="10"/>
      <c r="Z14" s="10"/>
      <c r="AA14" s="10"/>
      <c r="AB14" s="10"/>
      <c r="AC14" s="7"/>
      <c r="AD14" s="2">
        <f>SUM(AD9:AD13)</f>
        <v>5898496</v>
      </c>
      <c r="AE14" s="7"/>
      <c r="AF14" s="7"/>
      <c r="AG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8"/>
      <c r="V15" s="8"/>
      <c r="W15" s="8"/>
      <c r="X15" s="8"/>
      <c r="Y15" s="10"/>
      <c r="Z15" s="10"/>
      <c r="AA15" s="10"/>
      <c r="AB15" s="10"/>
      <c r="AC15" s="7"/>
      <c r="AD15" s="7"/>
      <c r="AE15" s="7"/>
      <c r="AF15" s="7"/>
      <c r="AG15" s="7"/>
    </row>
    <row r="16" ht="15.75" customHeight="1">
      <c r="A16" s="7">
        <v>1.0</v>
      </c>
      <c r="B16" s="7" t="s">
        <v>38</v>
      </c>
      <c r="C16" s="7"/>
      <c r="D16" s="7">
        <v>256.0</v>
      </c>
      <c r="E16" s="7">
        <v>12.0</v>
      </c>
      <c r="F16" s="7">
        <v>12.0</v>
      </c>
      <c r="G16" s="7">
        <v>384.0</v>
      </c>
      <c r="H16" s="7">
        <v>3.0</v>
      </c>
      <c r="I16" s="7">
        <v>3.0</v>
      </c>
      <c r="J16" s="7">
        <v>1.0</v>
      </c>
      <c r="K16" s="7">
        <v>1.0</v>
      </c>
      <c r="L16" s="7">
        <v>1.0</v>
      </c>
      <c r="M16" s="7">
        <v>1.0</v>
      </c>
      <c r="N16" s="7">
        <v>1.0</v>
      </c>
      <c r="O16" s="7">
        <v>12.0</v>
      </c>
      <c r="P16" s="7">
        <v>12.0</v>
      </c>
      <c r="Q16" s="7">
        <v>384.0</v>
      </c>
      <c r="R16" s="7">
        <f>A16*D16*G16</f>
        <v>98304</v>
      </c>
      <c r="S16" s="7">
        <f>R16*O16*P16</f>
        <v>14155776</v>
      </c>
      <c r="T16" s="7">
        <f>S16*H16*H16</f>
        <v>127401984</v>
      </c>
      <c r="U16" s="9">
        <v>12.0</v>
      </c>
      <c r="V16" s="9">
        <v>3.0</v>
      </c>
      <c r="W16" s="8">
        <v>3.0</v>
      </c>
      <c r="X16" s="9">
        <v>2.0</v>
      </c>
      <c r="Y16" s="10">
        <v>1.0</v>
      </c>
      <c r="Z16" s="10">
        <v>1.0</v>
      </c>
      <c r="AA16" s="10">
        <v>1.0</v>
      </c>
      <c r="AB16" s="10">
        <v>0.0</v>
      </c>
      <c r="AC16" s="7">
        <f>(X16*U16*V16*W16)+(Y16*Z16*AA16*AB16)</f>
        <v>216</v>
      </c>
      <c r="AD16" s="7">
        <f>(T16*$X$39)/AC16</f>
        <v>6488064</v>
      </c>
      <c r="AE16" s="7">
        <v>200.0</v>
      </c>
      <c r="AF16" s="7">
        <f>ROUNDDOWN(AD19/(AE16*1000000),2)</f>
        <v>0.03</v>
      </c>
      <c r="AG16" s="7">
        <f>ROUNDUP(1/AF16,0)</f>
        <v>34</v>
      </c>
    </row>
    <row r="17" ht="15.75" customHeight="1">
      <c r="A17" s="7"/>
      <c r="B17" s="7" t="s">
        <v>39</v>
      </c>
      <c r="C17" s="7">
        <v>97920.0</v>
      </c>
      <c r="D17" s="11">
        <v>256.0</v>
      </c>
      <c r="E17" s="7">
        <v>12.0</v>
      </c>
      <c r="F17" s="7"/>
      <c r="G17" s="11">
        <v>384.0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8"/>
      <c r="V17" s="8"/>
      <c r="W17" s="8"/>
      <c r="X17" s="8"/>
      <c r="Y17" s="10"/>
      <c r="Z17" s="10"/>
      <c r="AA17" s="10"/>
      <c r="AB17" s="10"/>
      <c r="AC17" s="7"/>
      <c r="AD17" s="7">
        <f>(D17-1)*G17*X48                            </f>
        <v>1077120</v>
      </c>
      <c r="AE17" s="7"/>
      <c r="AF17" s="7"/>
      <c r="AG17" s="7"/>
    </row>
    <row r="18" ht="15.75" customHeight="1">
      <c r="A18" s="7"/>
      <c r="B18" s="7" t="s">
        <v>35</v>
      </c>
      <c r="C18" s="7"/>
      <c r="D18" s="11">
        <v>384.0</v>
      </c>
      <c r="E18" s="7">
        <v>12.0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>
        <f>D18*E18^2</f>
        <v>55296</v>
      </c>
      <c r="U18" s="8"/>
      <c r="V18" s="8"/>
      <c r="W18" s="8"/>
      <c r="X18" s="8"/>
      <c r="Y18" s="10"/>
      <c r="Z18" s="10"/>
      <c r="AA18" s="10"/>
      <c r="AB18" s="10"/>
      <c r="AC18" s="7"/>
      <c r="AD18" s="7">
        <f>T18*1</f>
        <v>55296</v>
      </c>
      <c r="AE18" s="7"/>
      <c r="AF18" s="7"/>
      <c r="AG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8"/>
      <c r="V19" s="8"/>
      <c r="W19" s="8"/>
      <c r="X19" s="8"/>
      <c r="Y19" s="10"/>
      <c r="Z19" s="10"/>
      <c r="AA19" s="10"/>
      <c r="AB19" s="10"/>
      <c r="AC19" s="7"/>
      <c r="AD19" s="2">
        <f>SUM(AD16:AD18)</f>
        <v>7620480</v>
      </c>
      <c r="AE19" s="7"/>
      <c r="AF19" s="7"/>
      <c r="AG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8"/>
      <c r="V20" s="8"/>
      <c r="W20" s="8"/>
      <c r="X20" s="8"/>
      <c r="Y20" s="10"/>
      <c r="Z20" s="10"/>
      <c r="AA20" s="10"/>
      <c r="AB20" s="10"/>
      <c r="AC20" s="7"/>
      <c r="AD20" s="7"/>
      <c r="AE20" s="7"/>
      <c r="AF20" s="7"/>
      <c r="AG20" s="7"/>
    </row>
    <row r="21" ht="15.75" customHeight="1">
      <c r="A21" s="7">
        <v>1.0</v>
      </c>
      <c r="B21" s="7" t="s">
        <v>40</v>
      </c>
      <c r="C21" s="7"/>
      <c r="D21" s="7">
        <v>384.0</v>
      </c>
      <c r="E21" s="7">
        <v>12.0</v>
      </c>
      <c r="F21" s="7">
        <v>12.0</v>
      </c>
      <c r="G21" s="7">
        <v>384.0</v>
      </c>
      <c r="H21" s="7">
        <v>3.0</v>
      </c>
      <c r="I21" s="7">
        <v>3.0</v>
      </c>
      <c r="J21" s="7">
        <v>1.0</v>
      </c>
      <c r="K21" s="7">
        <v>1.0</v>
      </c>
      <c r="L21" s="7">
        <v>1.0</v>
      </c>
      <c r="M21" s="7">
        <v>1.0</v>
      </c>
      <c r="N21" s="7">
        <v>1.0</v>
      </c>
      <c r="O21" s="7">
        <v>12.0</v>
      </c>
      <c r="P21" s="7">
        <v>12.0</v>
      </c>
      <c r="Q21" s="7">
        <v>384.0</v>
      </c>
      <c r="R21" s="7">
        <f>A21*D21*G21</f>
        <v>147456</v>
      </c>
      <c r="S21" s="7">
        <f>R21*O21*P21</f>
        <v>21233664</v>
      </c>
      <c r="T21" s="7">
        <f>S21*H21*H21</f>
        <v>191102976</v>
      </c>
      <c r="U21" s="8">
        <v>12.0</v>
      </c>
      <c r="V21" s="8">
        <v>3.0</v>
      </c>
      <c r="W21" s="8">
        <v>3.0</v>
      </c>
      <c r="X21" s="9">
        <v>4.0</v>
      </c>
      <c r="Y21" s="10">
        <v>1.0</v>
      </c>
      <c r="Z21" s="10">
        <v>1.0</v>
      </c>
      <c r="AA21" s="10">
        <v>1.0</v>
      </c>
      <c r="AB21" s="10">
        <v>0.0</v>
      </c>
      <c r="AC21" s="7">
        <f>(X21*U21*V21*W21)+(Y21*Z21*AA21*AB21)</f>
        <v>432</v>
      </c>
      <c r="AD21" s="7">
        <f>(T21*$X$39)/AC21</f>
        <v>4866048</v>
      </c>
      <c r="AE21" s="7">
        <v>200.0</v>
      </c>
      <c r="AF21" s="7">
        <f>ROUNDDOWN(AD24/(AE21*1000000),2)</f>
        <v>0.03</v>
      </c>
      <c r="AG21" s="7">
        <f>ROUNDUP(1/AF21,0)</f>
        <v>34</v>
      </c>
    </row>
    <row r="22" ht="15.75" customHeight="1">
      <c r="A22" s="7"/>
      <c r="B22" s="7" t="s">
        <v>41</v>
      </c>
      <c r="C22" s="7">
        <v>147072.0</v>
      </c>
      <c r="D22" s="11">
        <v>384.0</v>
      </c>
      <c r="E22" s="7">
        <v>12.0</v>
      </c>
      <c r="F22" s="7"/>
      <c r="G22" s="11">
        <v>384.0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8"/>
      <c r="V22" s="8"/>
      <c r="W22" s="8"/>
      <c r="X22" s="8"/>
      <c r="Y22" s="10"/>
      <c r="Z22" s="10"/>
      <c r="AA22" s="10"/>
      <c r="AB22" s="10"/>
      <c r="AC22" s="7"/>
      <c r="AD22" s="7">
        <f>(D22-1)*G22*X48                            </f>
        <v>1617792</v>
      </c>
      <c r="AE22" s="7"/>
      <c r="AF22" s="7"/>
      <c r="AG22" s="7"/>
    </row>
    <row r="23" ht="15.75" customHeight="1">
      <c r="A23" s="7"/>
      <c r="B23" s="7" t="s">
        <v>35</v>
      </c>
      <c r="C23" s="7"/>
      <c r="D23" s="7">
        <v>384.0</v>
      </c>
      <c r="E23" s="7">
        <v>12.0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>
        <f>D23*E23^2</f>
        <v>55296</v>
      </c>
      <c r="U23" s="8"/>
      <c r="V23" s="8"/>
      <c r="W23" s="8"/>
      <c r="X23" s="8"/>
      <c r="Y23" s="10"/>
      <c r="Z23" s="10"/>
      <c r="AA23" s="10"/>
      <c r="AB23" s="10"/>
      <c r="AC23" s="7"/>
      <c r="AD23" s="7">
        <f>T23*1</f>
        <v>55296</v>
      </c>
      <c r="AE23" s="7"/>
      <c r="AF23" s="7"/>
      <c r="AG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8"/>
      <c r="V24" s="8"/>
      <c r="W24" s="8"/>
      <c r="X24" s="8"/>
      <c r="Y24" s="10"/>
      <c r="Z24" s="10"/>
      <c r="AA24" s="10"/>
      <c r="AB24" s="10"/>
      <c r="AC24" s="7"/>
      <c r="AD24" s="2">
        <f>SUM(AD21:AD23)</f>
        <v>6539136</v>
      </c>
      <c r="AE24" s="7"/>
      <c r="AF24" s="7"/>
      <c r="AG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8"/>
      <c r="V25" s="8"/>
      <c r="W25" s="8"/>
      <c r="X25" s="8"/>
      <c r="Y25" s="10"/>
      <c r="Z25" s="10"/>
      <c r="AA25" s="10"/>
      <c r="AB25" s="10"/>
      <c r="AC25" s="7"/>
      <c r="AD25" s="7"/>
      <c r="AE25" s="7"/>
      <c r="AF25" s="7"/>
      <c r="AG25" s="7"/>
    </row>
    <row r="26" ht="15.75" customHeight="1">
      <c r="A26" s="7">
        <v>1.0</v>
      </c>
      <c r="B26" s="7" t="s">
        <v>42</v>
      </c>
      <c r="C26" s="7"/>
      <c r="D26" s="7">
        <v>384.0</v>
      </c>
      <c r="E26" s="7">
        <v>12.0</v>
      </c>
      <c r="F26" s="7">
        <v>12.0</v>
      </c>
      <c r="G26" s="7">
        <v>256.0</v>
      </c>
      <c r="H26" s="7">
        <v>3.0</v>
      </c>
      <c r="I26" s="7">
        <v>3.0</v>
      </c>
      <c r="J26" s="7">
        <v>1.0</v>
      </c>
      <c r="K26" s="7">
        <v>1.0</v>
      </c>
      <c r="L26" s="7">
        <v>1.0</v>
      </c>
      <c r="M26" s="7">
        <v>1.0</v>
      </c>
      <c r="N26" s="7">
        <v>1.0</v>
      </c>
      <c r="O26" s="7">
        <v>12.0</v>
      </c>
      <c r="P26" s="7">
        <v>12.0</v>
      </c>
      <c r="Q26" s="7">
        <v>256.0</v>
      </c>
      <c r="R26" s="7">
        <f>A26*D26*G26</f>
        <v>98304</v>
      </c>
      <c r="S26" s="7">
        <f>R26*O26*P26</f>
        <v>14155776</v>
      </c>
      <c r="T26" s="7">
        <f>S26*H26*H26</f>
        <v>127401984</v>
      </c>
      <c r="U26" s="8">
        <v>12.0</v>
      </c>
      <c r="V26" s="8">
        <v>3.0</v>
      </c>
      <c r="W26" s="8">
        <v>3.0</v>
      </c>
      <c r="X26" s="9">
        <v>2.0</v>
      </c>
      <c r="Y26" s="10">
        <v>1.0</v>
      </c>
      <c r="Z26" s="10">
        <v>1.0</v>
      </c>
      <c r="AA26" s="10">
        <v>1.0</v>
      </c>
      <c r="AB26" s="10">
        <v>0.0</v>
      </c>
      <c r="AC26" s="7">
        <f>(X26*U26*V26*W26)+(Y26*Z26*AA26*AB26)</f>
        <v>216</v>
      </c>
      <c r="AD26" s="7">
        <f>(T26*$X$39)/AC26</f>
        <v>6488064</v>
      </c>
      <c r="AE26" s="7">
        <v>200.0</v>
      </c>
      <c r="AF26" s="7">
        <f>ROUNDDOWN(AD30/(AE26*1000000),2)</f>
        <v>0.03</v>
      </c>
      <c r="AG26" s="7">
        <f>ROUNDUP(1/AF26,0)</f>
        <v>34</v>
      </c>
    </row>
    <row r="27" ht="15.75" customHeight="1">
      <c r="A27" s="7"/>
      <c r="B27" s="7" t="s">
        <v>43</v>
      </c>
      <c r="C27" s="7">
        <v>98048.0</v>
      </c>
      <c r="D27" s="11">
        <v>384.0</v>
      </c>
      <c r="E27" s="7">
        <v>12.0</v>
      </c>
      <c r="F27" s="7"/>
      <c r="G27" s="11">
        <v>256.0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8"/>
      <c r="V27" s="8"/>
      <c r="W27" s="8"/>
      <c r="X27" s="8"/>
      <c r="Y27" s="10"/>
      <c r="Z27" s="10"/>
      <c r="AA27" s="10"/>
      <c r="AB27" s="10"/>
      <c r="AC27" s="7"/>
      <c r="AD27" s="7">
        <f>(D27-1)*G27*X48                            </f>
        <v>1078528</v>
      </c>
      <c r="AE27" s="7"/>
      <c r="AF27" s="7"/>
      <c r="AG27" s="7"/>
    </row>
    <row r="28" ht="15.75" customHeight="1">
      <c r="A28" s="7"/>
      <c r="B28" s="7" t="s">
        <v>35</v>
      </c>
      <c r="C28" s="7"/>
      <c r="D28" s="11">
        <v>256.0</v>
      </c>
      <c r="E28" s="7">
        <v>12.0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>
        <f t="shared" ref="T28:T29" si="1">D28*E28^2</f>
        <v>36864</v>
      </c>
      <c r="U28" s="8"/>
      <c r="V28" s="8"/>
      <c r="W28" s="8"/>
      <c r="X28" s="8"/>
      <c r="Y28" s="10"/>
      <c r="Z28" s="10"/>
      <c r="AA28" s="10"/>
      <c r="AB28" s="10"/>
      <c r="AC28" s="7"/>
      <c r="AD28" s="7">
        <f>T28*1</f>
        <v>36864</v>
      </c>
      <c r="AE28" s="7"/>
      <c r="AF28" s="7"/>
      <c r="AG28" s="7"/>
    </row>
    <row r="29" ht="15.75" customHeight="1">
      <c r="A29" s="7"/>
      <c r="B29" s="7" t="s">
        <v>44</v>
      </c>
      <c r="C29" s="7"/>
      <c r="D29" s="11">
        <v>256.0</v>
      </c>
      <c r="E29" s="7">
        <v>12.0</v>
      </c>
      <c r="F29" s="7"/>
      <c r="G29" s="7"/>
      <c r="H29" s="7">
        <v>3.0</v>
      </c>
      <c r="I29" s="7"/>
      <c r="J29" s="7"/>
      <c r="K29" s="7"/>
      <c r="L29" s="7"/>
      <c r="M29" s="7"/>
      <c r="N29" s="7"/>
      <c r="O29" s="7">
        <v>12.0</v>
      </c>
      <c r="P29" s="7"/>
      <c r="Q29" s="7"/>
      <c r="R29" s="7"/>
      <c r="S29" s="7"/>
      <c r="T29" s="7">
        <f t="shared" si="1"/>
        <v>36864</v>
      </c>
      <c r="U29" s="8"/>
      <c r="V29" s="8"/>
      <c r="W29" s="8"/>
      <c r="X29" s="8"/>
      <c r="Y29" s="10"/>
      <c r="Z29" s="10"/>
      <c r="AA29" s="10"/>
      <c r="AB29" s="10"/>
      <c r="AC29" s="7"/>
      <c r="AD29" s="7">
        <f>T29*$X43</f>
        <v>73728</v>
      </c>
      <c r="AE29" s="7"/>
      <c r="AF29" s="7"/>
      <c r="AG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8"/>
      <c r="V30" s="8"/>
      <c r="W30" s="8"/>
      <c r="X30" s="8"/>
      <c r="Y30" s="10"/>
      <c r="Z30" s="10"/>
      <c r="AA30" s="10"/>
      <c r="AB30" s="10"/>
      <c r="AC30" s="7"/>
      <c r="AD30" s="2">
        <f>SUM(AD26:AD29)</f>
        <v>7677184</v>
      </c>
      <c r="AE30" s="7"/>
      <c r="AF30" s="7"/>
      <c r="AG30" s="7"/>
    </row>
    <row r="31" ht="15.75" customHeight="1">
      <c r="A31" s="2"/>
      <c r="B31" s="7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>
        <f t="shared" ref="R31:T31" si="2">SUM(R2:R26)</f>
        <v>368928</v>
      </c>
      <c r="S31" s="2">
        <f t="shared" si="2"/>
        <v>66998400</v>
      </c>
      <c r="T31" s="2">
        <f t="shared" si="2"/>
        <v>963965286.4</v>
      </c>
      <c r="U31" s="2"/>
      <c r="V31" s="2"/>
      <c r="W31" s="2">
        <f>SUM(W2:W26)</f>
        <v>25</v>
      </c>
      <c r="X31" s="2"/>
      <c r="Y31" s="2"/>
      <c r="Z31" s="2"/>
      <c r="AA31" s="2"/>
      <c r="AB31" s="2"/>
      <c r="AC31" s="2">
        <f t="shared" ref="AC31:AD31" si="3">SUM(AC2:AC26)</f>
        <v>3540</v>
      </c>
      <c r="AD31" s="2">
        <f t="shared" si="3"/>
        <v>60325376</v>
      </c>
      <c r="AE31" s="7"/>
      <c r="AF31" s="2">
        <f>SUM(AF2:AF26)</f>
        <v>0.154</v>
      </c>
      <c r="AG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12" t="s">
        <v>45</v>
      </c>
      <c r="V38" s="13"/>
      <c r="W38" s="13"/>
      <c r="X38" s="14">
        <v>8.0</v>
      </c>
      <c r="Y38" s="14"/>
      <c r="Z38" s="14"/>
      <c r="AA38" s="14"/>
      <c r="AB38" s="14"/>
      <c r="AC38" s="7"/>
      <c r="AD38" s="7"/>
      <c r="AE38" s="7"/>
      <c r="AF38" s="7"/>
      <c r="AG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13" t="s">
        <v>46</v>
      </c>
      <c r="V39" s="13"/>
      <c r="W39" s="13"/>
      <c r="X39" s="15">
        <v>11.0</v>
      </c>
      <c r="Y39" s="15"/>
      <c r="Z39" s="15"/>
      <c r="AA39" s="15"/>
      <c r="AB39" s="15"/>
      <c r="AC39" s="7"/>
      <c r="AD39" s="7"/>
      <c r="AE39" s="7"/>
      <c r="AF39" s="7"/>
      <c r="AG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</row>
    <row r="41" ht="7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16" t="s">
        <v>47</v>
      </c>
      <c r="V41" s="7"/>
      <c r="W41" s="7"/>
      <c r="X41" s="15">
        <v>80.0</v>
      </c>
      <c r="Y41" s="7"/>
      <c r="Z41" s="7"/>
      <c r="AA41" s="7"/>
      <c r="AB41" s="7"/>
      <c r="AC41" s="7"/>
      <c r="AD41" s="16" t="s">
        <v>48</v>
      </c>
      <c r="AE41" s="7" t="s">
        <v>49</v>
      </c>
      <c r="AF41" s="7"/>
      <c r="AG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</row>
    <row r="43" ht="30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17" t="s">
        <v>50</v>
      </c>
      <c r="V43" s="7"/>
      <c r="W43" s="7"/>
      <c r="X43" s="18">
        <v>2.0</v>
      </c>
      <c r="AG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13"/>
      <c r="AG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19"/>
      <c r="Z45" s="19"/>
      <c r="AA45" s="19"/>
      <c r="AB45" s="19"/>
      <c r="AC45" s="7"/>
      <c r="AD45" s="7"/>
      <c r="AE45" s="13"/>
      <c r="AG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 t="s">
        <v>51</v>
      </c>
      <c r="V46" s="7"/>
      <c r="W46" s="7"/>
      <c r="X46" s="15">
        <v>1.0</v>
      </c>
      <c r="Y46" s="19"/>
      <c r="Z46" s="19"/>
      <c r="AA46" s="19"/>
      <c r="AB46" s="19"/>
      <c r="AC46" s="7"/>
      <c r="AD46" s="7"/>
      <c r="AE46" s="7"/>
      <c r="AF46" s="7"/>
      <c r="AG46" s="7"/>
    </row>
    <row r="47" ht="15.75" customHeight="1"/>
    <row r="48" ht="15.75" customHeight="1">
      <c r="U48" s="18" t="s">
        <v>52</v>
      </c>
      <c r="X48" s="18">
        <v>11.0</v>
      </c>
    </row>
    <row r="49" ht="15.75" customHeight="1"/>
    <row r="50" ht="15.75" customHeight="1">
      <c r="U50" s="18" t="s">
        <v>53</v>
      </c>
      <c r="X50" s="18">
        <v>1.0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2" max="2" width="13.75"/>
    <col customWidth="1" min="6" max="6" width="18.63"/>
    <col hidden="1" min="20" max="26" width="12.63"/>
  </cols>
  <sheetData>
    <row r="1" ht="15.75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4" t="s">
        <v>16</v>
      </c>
      <c r="S1" s="4" t="s">
        <v>17</v>
      </c>
      <c r="T1" s="18" t="s">
        <v>17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</row>
    <row r="2" ht="15.75" customHeight="1">
      <c r="A2" s="7">
        <v>1.0</v>
      </c>
      <c r="B2" s="7" t="s">
        <v>28</v>
      </c>
      <c r="C2" s="7">
        <v>3.0</v>
      </c>
      <c r="D2" s="7">
        <v>224.0</v>
      </c>
      <c r="E2" s="7">
        <v>224.0</v>
      </c>
      <c r="F2" s="7">
        <v>96.0</v>
      </c>
      <c r="G2" s="7">
        <v>11.0</v>
      </c>
      <c r="H2" s="7">
        <v>11.0</v>
      </c>
      <c r="I2" s="7">
        <v>4.0</v>
      </c>
      <c r="J2" s="7">
        <v>0.0</v>
      </c>
      <c r="K2" s="7">
        <v>0.0</v>
      </c>
      <c r="L2" s="7">
        <v>0.0</v>
      </c>
      <c r="M2" s="7">
        <v>0.0</v>
      </c>
      <c r="N2" s="7">
        <v>54.0</v>
      </c>
      <c r="O2" s="7">
        <v>54.0</v>
      </c>
      <c r="P2" s="7">
        <v>96.0</v>
      </c>
      <c r="Q2" s="7">
        <f>A2*C2*F2</f>
        <v>288</v>
      </c>
      <c r="R2" s="7">
        <f>Q2*N2*O2</f>
        <v>839808</v>
      </c>
      <c r="S2" s="7">
        <f>R2*G2*G2</f>
        <v>101616768</v>
      </c>
      <c r="AA2" s="7">
        <v>1.0</v>
      </c>
      <c r="AB2" s="7">
        <f>(S2*$S$28)/AA2</f>
        <v>1117784448</v>
      </c>
      <c r="AC2" s="7">
        <v>200.0</v>
      </c>
      <c r="AD2" s="7">
        <f>ROUNDDOWN(AB6/(AC2*1000000),3)</f>
        <v>5.615</v>
      </c>
      <c r="AE2" s="7">
        <f>ROUNDUP(1/AD2,0)</f>
        <v>1</v>
      </c>
    </row>
    <row r="3" ht="15.75" customHeight="1">
      <c r="A3" s="7"/>
      <c r="B3" s="7" t="s">
        <v>30</v>
      </c>
      <c r="C3" s="7">
        <v>96.0</v>
      </c>
      <c r="D3" s="7">
        <v>54.0</v>
      </c>
      <c r="E3" s="7"/>
      <c r="F3" s="7">
        <v>54.0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>
        <f>C3*D3*F3</f>
        <v>279936</v>
      </c>
      <c r="AA3" s="7"/>
      <c r="AB3" s="7">
        <f>S3*1</f>
        <v>279936</v>
      </c>
      <c r="AC3" s="7"/>
      <c r="AD3" s="7"/>
      <c r="AE3" s="7"/>
    </row>
    <row r="4" ht="15.75" customHeight="1">
      <c r="A4" s="7"/>
      <c r="B4" s="7" t="s">
        <v>31</v>
      </c>
      <c r="C4" s="7">
        <v>96.0</v>
      </c>
      <c r="D4" s="7">
        <v>54.0</v>
      </c>
      <c r="E4" s="7"/>
      <c r="F4" s="7">
        <v>54.0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>
        <f>C4*D4*F4/5</f>
        <v>55987.2</v>
      </c>
      <c r="AA4" s="7"/>
      <c r="AB4" s="7">
        <f t="shared" ref="AB4:AB5" si="1">S4*$S30</f>
        <v>4478976</v>
      </c>
      <c r="AC4" s="7"/>
      <c r="AD4" s="7"/>
      <c r="AE4" s="7"/>
    </row>
    <row r="5" ht="15.75" customHeight="1">
      <c r="A5" s="7"/>
      <c r="B5" s="7" t="s">
        <v>32</v>
      </c>
      <c r="C5" s="7">
        <v>96.0</v>
      </c>
      <c r="D5" s="7">
        <v>54.0</v>
      </c>
      <c r="E5" s="7"/>
      <c r="F5" s="7">
        <v>54.0</v>
      </c>
      <c r="G5" s="7">
        <v>3.0</v>
      </c>
      <c r="H5" s="7"/>
      <c r="I5" s="7"/>
      <c r="J5" s="7"/>
      <c r="K5" s="7"/>
      <c r="L5" s="7"/>
      <c r="M5" s="7"/>
      <c r="N5" s="7">
        <v>26.0</v>
      </c>
      <c r="O5" s="7"/>
      <c r="P5" s="7"/>
      <c r="Q5" s="7"/>
      <c r="R5" s="7"/>
      <c r="S5" s="7">
        <f>C5*D5*F5</f>
        <v>279936</v>
      </c>
      <c r="AA5" s="7"/>
      <c r="AB5" s="7">
        <f t="shared" si="1"/>
        <v>559872</v>
      </c>
      <c r="AC5" s="7"/>
      <c r="AD5" s="7"/>
      <c r="AE5" s="7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AA6" s="7"/>
      <c r="AB6" s="2">
        <f>SUM(AB2:AB5)</f>
        <v>1123103232</v>
      </c>
      <c r="AC6" s="7"/>
      <c r="AD6" s="7"/>
      <c r="AE6" s="7"/>
    </row>
    <row r="7" ht="15.75" customHeight="1">
      <c r="A7" s="7">
        <v>1.0</v>
      </c>
      <c r="B7" s="7" t="s">
        <v>33</v>
      </c>
      <c r="C7" s="7">
        <v>96.0</v>
      </c>
      <c r="D7" s="7">
        <v>26.0</v>
      </c>
      <c r="E7" s="7">
        <v>26.0</v>
      </c>
      <c r="F7" s="7">
        <v>256.0</v>
      </c>
      <c r="G7" s="7">
        <v>5.0</v>
      </c>
      <c r="H7" s="7">
        <v>5.0</v>
      </c>
      <c r="I7" s="7">
        <v>1.0</v>
      </c>
      <c r="J7" s="7">
        <v>2.0</v>
      </c>
      <c r="K7" s="7">
        <v>2.0</v>
      </c>
      <c r="L7" s="7">
        <v>2.0</v>
      </c>
      <c r="M7" s="7">
        <v>2.0</v>
      </c>
      <c r="N7" s="7">
        <v>26.0</v>
      </c>
      <c r="O7" s="7">
        <v>26.0</v>
      </c>
      <c r="P7" s="7">
        <v>256.0</v>
      </c>
      <c r="Q7" s="7">
        <f>A7*C7*F7</f>
        <v>24576</v>
      </c>
      <c r="R7" s="7">
        <f>Q7*N7*O7</f>
        <v>16613376</v>
      </c>
      <c r="S7" s="7">
        <f>R7*G7*G7</f>
        <v>415334400</v>
      </c>
      <c r="AA7" s="7">
        <v>1.0</v>
      </c>
      <c r="AB7" s="7">
        <f>(S7*$S28)/AA7</f>
        <v>4568678400</v>
      </c>
      <c r="AC7" s="7">
        <v>200.0</v>
      </c>
      <c r="AD7" s="7">
        <f>ROUNDDOWN(AB11/(AC7*1000000),2)</f>
        <v>22.84</v>
      </c>
      <c r="AE7" s="7">
        <f>ROUNDUP(1/AD7,0)</f>
        <v>1</v>
      </c>
    </row>
    <row r="8" ht="15.75" customHeight="1">
      <c r="A8" s="7"/>
      <c r="B8" s="7" t="s">
        <v>35</v>
      </c>
      <c r="C8" s="7">
        <v>96.0</v>
      </c>
      <c r="D8" s="7">
        <v>26.0</v>
      </c>
      <c r="E8" s="7"/>
      <c r="F8" s="7">
        <v>26.0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>
        <f>C8*D8*F8</f>
        <v>64896</v>
      </c>
      <c r="AA8" s="7"/>
      <c r="AB8" s="7">
        <f>S8*1</f>
        <v>64896</v>
      </c>
      <c r="AC8" s="7"/>
      <c r="AD8" s="7"/>
      <c r="AE8" s="7"/>
    </row>
    <row r="9" ht="15.75" customHeight="1">
      <c r="A9" s="7"/>
      <c r="B9" s="7" t="s">
        <v>36</v>
      </c>
      <c r="C9" s="7">
        <v>96.0</v>
      </c>
      <c r="D9" s="7">
        <v>26.0</v>
      </c>
      <c r="E9" s="7"/>
      <c r="F9" s="7">
        <v>26.0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>
        <f>C9*D9*F9/5</f>
        <v>12979.2</v>
      </c>
      <c r="AA9" s="7"/>
      <c r="AB9" s="7">
        <f t="shared" ref="AB9:AB10" si="2">S9*$S30</f>
        <v>1038336</v>
      </c>
      <c r="AC9" s="7"/>
      <c r="AD9" s="7"/>
      <c r="AE9" s="7"/>
    </row>
    <row r="10" ht="15.75" customHeight="1">
      <c r="A10" s="7"/>
      <c r="B10" s="7" t="s">
        <v>37</v>
      </c>
      <c r="C10" s="7">
        <v>96.0</v>
      </c>
      <c r="D10" s="7">
        <v>26.0</v>
      </c>
      <c r="E10" s="7"/>
      <c r="F10" s="7">
        <v>26.0</v>
      </c>
      <c r="G10" s="7">
        <v>3.0</v>
      </c>
      <c r="H10" s="7"/>
      <c r="I10" s="7"/>
      <c r="J10" s="7"/>
      <c r="K10" s="7"/>
      <c r="L10" s="7"/>
      <c r="M10" s="7"/>
      <c r="N10" s="7">
        <v>12.0</v>
      </c>
      <c r="O10" s="7"/>
      <c r="P10" s="7"/>
      <c r="Q10" s="7"/>
      <c r="R10" s="7"/>
      <c r="S10" s="7">
        <f>C10*D10*F10</f>
        <v>64896</v>
      </c>
      <c r="AA10" s="7"/>
      <c r="AB10" s="7">
        <f t="shared" si="2"/>
        <v>129792</v>
      </c>
      <c r="AC10" s="7"/>
      <c r="AD10" s="7"/>
      <c r="AE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AA11" s="7"/>
      <c r="AB11" s="2">
        <f>SUM(AB7:AB10)</f>
        <v>4569911424</v>
      </c>
      <c r="AC11" s="7"/>
      <c r="AD11" s="7"/>
      <c r="AE11" s="7"/>
    </row>
    <row r="12" ht="15.75" customHeight="1">
      <c r="A12" s="7">
        <v>1.0</v>
      </c>
      <c r="B12" s="7" t="s">
        <v>38</v>
      </c>
      <c r="C12" s="7">
        <v>256.0</v>
      </c>
      <c r="D12" s="7">
        <v>12.0</v>
      </c>
      <c r="E12" s="7">
        <v>12.0</v>
      </c>
      <c r="F12" s="7">
        <v>384.0</v>
      </c>
      <c r="G12" s="7">
        <v>3.0</v>
      </c>
      <c r="H12" s="7">
        <v>3.0</v>
      </c>
      <c r="I12" s="7">
        <v>1.0</v>
      </c>
      <c r="J12" s="7">
        <v>1.0</v>
      </c>
      <c r="K12" s="7">
        <v>1.0</v>
      </c>
      <c r="L12" s="7">
        <v>1.0</v>
      </c>
      <c r="M12" s="7">
        <v>1.0</v>
      </c>
      <c r="N12" s="7">
        <v>12.0</v>
      </c>
      <c r="O12" s="7">
        <v>12.0</v>
      </c>
      <c r="P12" s="7">
        <v>384.0</v>
      </c>
      <c r="Q12" s="7">
        <f>A12*C12*F12</f>
        <v>98304</v>
      </c>
      <c r="R12" s="7">
        <f>Q12*N12*O12</f>
        <v>14155776</v>
      </c>
      <c r="S12" s="7">
        <f>R12*G12*G12</f>
        <v>127401984</v>
      </c>
      <c r="AA12" s="7">
        <v>1.0</v>
      </c>
      <c r="AB12" s="7">
        <f>(S12*$S28)/AA12</f>
        <v>1401421824</v>
      </c>
      <c r="AC12" s="7">
        <v>200.0</v>
      </c>
      <c r="AD12" s="7">
        <f>ROUNDDOWN(AB14/(AC12*1000000),3)</f>
        <v>7.007</v>
      </c>
      <c r="AE12" s="7">
        <f>ROUNDUP(1/AD12,0)</f>
        <v>1</v>
      </c>
    </row>
    <row r="13" ht="15.75" customHeight="1">
      <c r="A13" s="7"/>
      <c r="B13" s="7" t="s">
        <v>35</v>
      </c>
      <c r="C13" s="7">
        <v>256.0</v>
      </c>
      <c r="D13" s="7">
        <v>12.0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>
        <f>C13*D13^2</f>
        <v>36864</v>
      </c>
      <c r="AA13" s="7"/>
      <c r="AB13" s="7">
        <f>S13*1</f>
        <v>36864</v>
      </c>
      <c r="AC13" s="7"/>
      <c r="AD13" s="7"/>
      <c r="AE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AA14" s="7"/>
      <c r="AB14" s="2">
        <f>SUM(AB12:AB13)</f>
        <v>1401458688</v>
      </c>
      <c r="AC14" s="7"/>
      <c r="AD14" s="7"/>
      <c r="AE14" s="7"/>
    </row>
    <row r="15" ht="15.75" customHeight="1">
      <c r="A15" s="7">
        <v>1.0</v>
      </c>
      <c r="B15" s="7" t="s">
        <v>40</v>
      </c>
      <c r="C15" s="7">
        <v>384.0</v>
      </c>
      <c r="D15" s="7">
        <v>12.0</v>
      </c>
      <c r="E15" s="7">
        <v>12.0</v>
      </c>
      <c r="F15" s="7">
        <v>384.0</v>
      </c>
      <c r="G15" s="7">
        <v>3.0</v>
      </c>
      <c r="H15" s="7">
        <v>3.0</v>
      </c>
      <c r="I15" s="7">
        <v>1.0</v>
      </c>
      <c r="J15" s="7">
        <v>1.0</v>
      </c>
      <c r="K15" s="7">
        <v>1.0</v>
      </c>
      <c r="L15" s="7">
        <v>1.0</v>
      </c>
      <c r="M15" s="7">
        <v>1.0</v>
      </c>
      <c r="N15" s="7">
        <v>12.0</v>
      </c>
      <c r="O15" s="7">
        <v>12.0</v>
      </c>
      <c r="P15" s="7">
        <v>384.0</v>
      </c>
      <c r="Q15" s="7">
        <f>A15*C15*F15</f>
        <v>147456</v>
      </c>
      <c r="R15" s="7">
        <f>Q15*N15*O15</f>
        <v>21233664</v>
      </c>
      <c r="S15" s="7">
        <f>R15*G15*G15</f>
        <v>191102976</v>
      </c>
      <c r="AA15" s="7">
        <v>1.0</v>
      </c>
      <c r="AB15" s="7">
        <f>(S15*$S28)/AA15</f>
        <v>2102132736</v>
      </c>
      <c r="AC15" s="7">
        <v>200.0</v>
      </c>
      <c r="AD15" s="7">
        <f>ROUNDDOWN(AB17/(AC15*1000000),3)</f>
        <v>10.51</v>
      </c>
      <c r="AE15" s="7">
        <f>ROUNDUP(1/AD15,0)</f>
        <v>1</v>
      </c>
    </row>
    <row r="16" ht="15.75" customHeight="1">
      <c r="A16" s="7"/>
      <c r="B16" s="7" t="s">
        <v>35</v>
      </c>
      <c r="C16" s="7">
        <v>384.0</v>
      </c>
      <c r="D16" s="7">
        <v>12.0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>
        <f>C16*D16^2</f>
        <v>55296</v>
      </c>
      <c r="AA16" s="7"/>
      <c r="AB16" s="7">
        <f>S16*1</f>
        <v>55296</v>
      </c>
      <c r="AC16" s="7"/>
      <c r="AD16" s="7"/>
      <c r="AE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AA17" s="7"/>
      <c r="AB17" s="2">
        <f>SUM(AB15:AB16)</f>
        <v>2102188032</v>
      </c>
      <c r="AC17" s="7"/>
      <c r="AD17" s="7"/>
      <c r="AE17" s="7"/>
    </row>
    <row r="18" ht="15.75" customHeight="1">
      <c r="A18" s="7">
        <v>1.0</v>
      </c>
      <c r="B18" s="7" t="s">
        <v>42</v>
      </c>
      <c r="C18" s="7">
        <v>384.0</v>
      </c>
      <c r="D18" s="7">
        <v>12.0</v>
      </c>
      <c r="E18" s="7">
        <v>12.0</v>
      </c>
      <c r="F18" s="7">
        <v>256.0</v>
      </c>
      <c r="G18" s="7">
        <v>3.0</v>
      </c>
      <c r="H18" s="7">
        <v>3.0</v>
      </c>
      <c r="I18" s="7">
        <v>1.0</v>
      </c>
      <c r="J18" s="7">
        <v>1.0</v>
      </c>
      <c r="K18" s="7">
        <v>1.0</v>
      </c>
      <c r="L18" s="7">
        <v>1.0</v>
      </c>
      <c r="M18" s="7">
        <v>1.0</v>
      </c>
      <c r="N18" s="7">
        <v>12.0</v>
      </c>
      <c r="O18" s="7">
        <v>12.0</v>
      </c>
      <c r="P18" s="7">
        <v>256.0</v>
      </c>
      <c r="Q18" s="7">
        <f>A18*C18*F18</f>
        <v>98304</v>
      </c>
      <c r="R18" s="7">
        <f>Q18*N18*O18</f>
        <v>14155776</v>
      </c>
      <c r="S18" s="7">
        <f>R18*G18*G18</f>
        <v>127401984</v>
      </c>
      <c r="AA18" s="7">
        <v>1.0</v>
      </c>
      <c r="AB18" s="7">
        <f>(S18*$S28)/AA18</f>
        <v>1401421824</v>
      </c>
      <c r="AC18" s="7">
        <v>200.0</v>
      </c>
      <c r="AD18" s="7">
        <f>ROUNDDOWN(AB21/(AC18*1000000),3)</f>
        <v>7.007</v>
      </c>
      <c r="AE18" s="7">
        <f>ROUNDUP(1/AD18,0)</f>
        <v>1</v>
      </c>
    </row>
    <row r="19" ht="15.75" customHeight="1">
      <c r="A19" s="7"/>
      <c r="B19" s="7" t="s">
        <v>35</v>
      </c>
      <c r="C19" s="7">
        <v>384.0</v>
      </c>
      <c r="D19" s="7">
        <v>12.0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>
        <f t="shared" ref="S19:S20" si="3">C19*D19^2</f>
        <v>55296</v>
      </c>
      <c r="AA19" s="7"/>
      <c r="AB19" s="7">
        <f>S19*1</f>
        <v>55296</v>
      </c>
      <c r="AC19" s="7"/>
      <c r="AD19" s="7"/>
      <c r="AE19" s="7"/>
    </row>
    <row r="20" ht="15.75" customHeight="1">
      <c r="A20" s="7"/>
      <c r="B20" s="7" t="s">
        <v>44</v>
      </c>
      <c r="C20" s="7">
        <v>384.0</v>
      </c>
      <c r="D20" s="7">
        <v>12.0</v>
      </c>
      <c r="E20" s="7"/>
      <c r="F20" s="7"/>
      <c r="G20" s="7">
        <v>3.0</v>
      </c>
      <c r="H20" s="7"/>
      <c r="I20" s="7"/>
      <c r="J20" s="7"/>
      <c r="K20" s="7"/>
      <c r="L20" s="7"/>
      <c r="M20" s="7"/>
      <c r="N20" s="7">
        <v>12.0</v>
      </c>
      <c r="O20" s="7"/>
      <c r="P20" s="7"/>
      <c r="Q20" s="7"/>
      <c r="R20" s="7"/>
      <c r="S20" s="7">
        <f t="shared" si="3"/>
        <v>55296</v>
      </c>
      <c r="AA20" s="7"/>
      <c r="AB20" s="7">
        <f>S20*$S31</f>
        <v>110592</v>
      </c>
      <c r="AC20" s="7"/>
      <c r="AD20" s="7"/>
      <c r="AE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AA21" s="7"/>
      <c r="AB21" s="2">
        <f>SUM(AB18:AB20)</f>
        <v>1401587712</v>
      </c>
      <c r="AC21" s="7"/>
      <c r="AD21" s="7"/>
      <c r="AE21" s="7"/>
    </row>
    <row r="22" ht="15.75" customHeight="1">
      <c r="A22" s="2"/>
      <c r="B22" s="7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>
        <f t="shared" ref="Q22:S22" si="4">SUM(Q2:Q18)</f>
        <v>368928</v>
      </c>
      <c r="R22" s="2">
        <f t="shared" si="4"/>
        <v>66998400</v>
      </c>
      <c r="S22" s="2">
        <f t="shared" si="4"/>
        <v>963708902.4</v>
      </c>
      <c r="AA22" s="2">
        <f t="shared" ref="AA22:AB22" si="5">SUM(AA2:AA18)</f>
        <v>5</v>
      </c>
      <c r="AB22" s="2">
        <f t="shared" si="5"/>
        <v>19794744576</v>
      </c>
      <c r="AC22" s="7"/>
      <c r="AD22" s="2">
        <f>SUM(AD2:AD18)</f>
        <v>52.979</v>
      </c>
      <c r="AE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AA23" s="7"/>
      <c r="AB23" s="7"/>
      <c r="AC23" s="7"/>
      <c r="AD23" s="7"/>
      <c r="AE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AA24" s="7"/>
      <c r="AB24" s="7"/>
      <c r="AC24" s="7"/>
      <c r="AD24" s="7"/>
      <c r="AE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AA25" s="7"/>
      <c r="AB25" s="7"/>
      <c r="AC25" s="7"/>
      <c r="AD25" s="7"/>
      <c r="AE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AA26" s="7"/>
      <c r="AB26" s="7"/>
      <c r="AC26" s="7"/>
      <c r="AD26" s="7"/>
      <c r="AE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AA27" s="7"/>
      <c r="AB27" s="7"/>
      <c r="AC27" s="7"/>
      <c r="AD27" s="7"/>
      <c r="AE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 t="s">
        <v>54</v>
      </c>
      <c r="R28" s="7"/>
      <c r="S28" s="7">
        <v>11.0</v>
      </c>
      <c r="AA28" s="7"/>
      <c r="AB28" s="7"/>
      <c r="AC28" s="7"/>
      <c r="AD28" s="7"/>
      <c r="AE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AA29" s="7"/>
      <c r="AB29" s="7"/>
      <c r="AC29" s="7"/>
      <c r="AD29" s="7"/>
      <c r="AE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 t="s">
        <v>55</v>
      </c>
      <c r="R30" s="7"/>
      <c r="S30" s="7">
        <v>80.0</v>
      </c>
      <c r="AA30" s="7"/>
      <c r="AB30" s="7"/>
      <c r="AC30" s="7"/>
      <c r="AD30" s="7"/>
      <c r="AE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 t="s">
        <v>56</v>
      </c>
      <c r="R31" s="7"/>
      <c r="S31" s="7">
        <v>2.0</v>
      </c>
      <c r="AA31" s="7"/>
      <c r="AB31" s="7"/>
      <c r="AC31" s="7"/>
      <c r="AD31" s="7"/>
      <c r="AE31" s="7"/>
    </row>
    <row r="32" ht="53.25" customHeight="1"/>
    <row r="33" ht="15.75" customHeight="1"/>
    <row r="34" ht="30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5" footer="0.0" header="0.0" left="0.7875" right="0.7875" top="0.78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